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THANIA\Downloads\"/>
    </mc:Choice>
  </mc:AlternateContent>
  <xr:revisionPtr revIDLastSave="0" documentId="13_ncr:1_{4F08C91B-6EC8-45DF-8DA7-C2412833CD39}" xr6:coauthVersionLast="47" xr6:coauthVersionMax="47" xr10:uidLastSave="{00000000-0000-0000-0000-000000000000}"/>
  <bookViews>
    <workbookView xWindow="-110" yWindow="-110" windowWidth="19420" windowHeight="10300" firstSheet="4" activeTab="7" xr2:uid="{4EA61131-D313-48E6-8652-ED861190344D}"/>
  </bookViews>
  <sheets>
    <sheet name="Regression" sheetId="1" r:id="rId1"/>
    <sheet name="Practice_Regression" sheetId="2" r:id="rId2"/>
    <sheet name="Timeseries" sheetId="3" r:id="rId3"/>
    <sheet name="Practice_timeseries" sheetId="4" r:id="rId4"/>
    <sheet name="Comparison" sheetId="5" r:id="rId5"/>
    <sheet name="Practice_comparison" sheetId="6" r:id="rId6"/>
    <sheet name="Ranking" sheetId="7" r:id="rId7"/>
    <sheet name="Ranking_Practic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2" i="7"/>
  <c r="C4" i="3"/>
  <c r="C5" i="3"/>
  <c r="C6" i="3"/>
  <c r="C7" i="3"/>
  <c r="C8" i="3"/>
  <c r="C9" i="3"/>
  <c r="C10" i="3"/>
  <c r="C11" i="3"/>
  <c r="C12" i="3"/>
  <c r="C13" i="3"/>
  <c r="C3" i="3"/>
  <c r="B17" i="1"/>
  <c r="B15" i="1"/>
  <c r="B14" i="1"/>
</calcChain>
</file>

<file path=xl/sharedStrings.xml><?xml version="1.0" encoding="utf-8"?>
<sst xmlns="http://schemas.openxmlformats.org/spreadsheetml/2006/main" count="88" uniqueCount="67">
  <si>
    <t>Advertising Spend (₹'000) – X</t>
  </si>
  <si>
    <t>Sales (₹'000) – Y</t>
  </si>
  <si>
    <t>slope</t>
  </si>
  <si>
    <t>intercept</t>
  </si>
  <si>
    <t>?</t>
  </si>
  <si>
    <t>y(predict new value 60)</t>
  </si>
  <si>
    <t>Work Experience (Years) – X</t>
  </si>
  <si>
    <t>Monthly Salary (₹'000) – Y</t>
  </si>
  <si>
    <t>Month</t>
  </si>
  <si>
    <t>Sales (₹)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</si>
  <si>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</si>
  <si>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</si>
  <si>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</si>
  <si>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</si>
  <si>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</si>
  <si>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</si>
  <si>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</si>
  <si>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</si>
  <si>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</si>
  <si>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</si>
  <si>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</si>
  <si>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</si>
  <si>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Avg Sales</t>
  </si>
  <si>
    <t>Website Visitors</t>
  </si>
  <si>
    <t>Product</t>
  </si>
  <si>
    <t>Price (₹)</t>
  </si>
  <si>
    <t>Sales Amount (₹)</t>
  </si>
  <si>
    <t>Product A</t>
  </si>
  <si>
    <t>Product B</t>
  </si>
  <si>
    <t>Product C</t>
  </si>
  <si>
    <t>Product D</t>
  </si>
  <si>
    <t>Product E</t>
  </si>
  <si>
    <t>Product F</t>
  </si>
  <si>
    <t>Product G</t>
  </si>
  <si>
    <t>Product H</t>
  </si>
  <si>
    <t>Product I</t>
  </si>
  <si>
    <t>Product J</t>
  </si>
  <si>
    <t>Department</t>
  </si>
  <si>
    <t>Employees</t>
  </si>
  <si>
    <t>Average Salary (₹)</t>
  </si>
  <si>
    <t>HR</t>
  </si>
  <si>
    <t>Finance</t>
  </si>
  <si>
    <t>Marketing</t>
  </si>
  <si>
    <t>Sales</t>
  </si>
  <si>
    <t>IT</t>
  </si>
  <si>
    <t>Operations</t>
  </si>
  <si>
    <t>Customer Support</t>
  </si>
  <si>
    <t>Research</t>
  </si>
  <si>
    <t>Administration</t>
  </si>
  <si>
    <t>Logistics</t>
  </si>
  <si>
    <t>Employee</t>
  </si>
  <si>
    <t>Arun</t>
  </si>
  <si>
    <t>Bala</t>
  </si>
  <si>
    <t>Chitra</t>
  </si>
  <si>
    <t>Divya</t>
  </si>
  <si>
    <t>Ezhil</t>
  </si>
  <si>
    <t>Farhan</t>
  </si>
  <si>
    <t>Geetha</t>
  </si>
  <si>
    <t>Hari</t>
  </si>
  <si>
    <t>Indhu</t>
  </si>
  <si>
    <t>Joseph</t>
  </si>
  <si>
    <t>Anitha</t>
  </si>
  <si>
    <t>Binu</t>
  </si>
  <si>
    <t>Charan</t>
  </si>
  <si>
    <t>Farah</t>
  </si>
  <si>
    <t>Ganesh</t>
  </si>
  <si>
    <t>Indu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</si>
</sst>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Regression!$A$2:$A$11</c:f>
              <c:numCache>
                <c:formatCode>General</c:formatCode>
                <c:ptCount val="10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</c:numCache>
            </c:numRef>
          </c:xVal>
          <c:yVal>
            <c:numRef>
              <c:f>Regression!$B$2:$B$11</c:f>
              <c:numCache>
                <c:formatCode>General</c:formatCode>
                <c:ptCount val="10"/>
                <c:pt idx="0">
                  <c:v>25</c:v>
                </c:pt>
                <c:pt idx="1">
                  <c:v>32</c:v>
                </c:pt>
                <c:pt idx="2">
                  <c:v>38</c:v>
                </c:pt>
                <c:pt idx="3">
                  <c:v>45</c:v>
                </c:pt>
                <c:pt idx="4">
                  <c:v>52</c:v>
                </c:pt>
                <c:pt idx="5">
                  <c:v>58</c:v>
                </c:pt>
                <c:pt idx="6">
                  <c:v>65</c:v>
                </c:pt>
                <c:pt idx="7">
                  <c:v>70</c:v>
                </c:pt>
                <c:pt idx="8">
                  <c:v>78</c:v>
                </c:pt>
                <c:pt idx="9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01-4C65-8AFC-645FF8E75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9088"/>
        <c:axId val="5606832"/>
      </c:scatterChart>
      <c:valAx>
        <c:axId val="1046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6832"/>
        <c:crosses val="autoZero"/>
        <c:crossBetween val="midCat"/>
      </c:valAx>
      <c:valAx>
        <c:axId val="560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Timeseries!$B$1</c:f>
              <c:strCache>
                <c:ptCount val="1"/>
                <c:pt idx="0">
                  <c:v>Sales (₹)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Timeseries!$A$2:$A$13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Timeseries!$B$2:$B$13</c:f>
              <c:numCache>
                <c:formatCode>#,##0</c:formatCode>
                <c:ptCount val="12"/>
                <c:pt idx="0">
                  <c:v>45000</c:v>
                </c:pt>
                <c:pt idx="1">
                  <c:v>48000</c:v>
                </c:pt>
                <c:pt idx="2">
                  <c:v>52000</c:v>
                </c:pt>
                <c:pt idx="3">
                  <c:v>50000</c:v>
                </c:pt>
                <c:pt idx="4">
                  <c:v>55000</c:v>
                </c:pt>
                <c:pt idx="5">
                  <c:v>58000</c:v>
                </c:pt>
                <c:pt idx="6">
                  <c:v>62000</c:v>
                </c:pt>
                <c:pt idx="7">
                  <c:v>60000</c:v>
                </c:pt>
                <c:pt idx="8">
                  <c:v>65000</c:v>
                </c:pt>
                <c:pt idx="9">
                  <c:v>72000</c:v>
                </c:pt>
                <c:pt idx="10">
                  <c:v>78000</c:v>
                </c:pt>
                <c:pt idx="11">
                  <c:v>90000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82-44A8-A204-5ABF3B05B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3293135"/>
        <c:axId val="1080782287"/>
      </c:lineChart>
      <c:catAx>
        <c:axId val="79329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82287"/>
        <c:crosses val="autoZero"/>
        <c:auto val="1"/>
        <c:lblAlgn val="ctr"/>
        <c:lblOffset val="100"/>
        <c:noMultiLvlLbl val="0"/>
      </c:catAx>
      <c:valAx>
        <c:axId val="1080782287"/>
        <c:scaling>
          <c:orientation val="minMax"/>
          <c:min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29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Timeseries!$A$3:$A$13</c:f>
              <c:strCache>
                <c:ptCount val="11"/>
                <c:pt idx="0">
                  <c:v>February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  <c:pt idx="4">
                  <c:v>June</c:v>
                </c:pt>
                <c:pt idx="5">
                  <c:v>July</c:v>
                </c:pt>
                <c:pt idx="6">
                  <c:v>August</c:v>
                </c:pt>
                <c:pt idx="7">
                  <c:v>September</c:v>
                </c:pt>
                <c:pt idx="8">
                  <c:v>October</c:v>
                </c:pt>
                <c:pt idx="9">
                  <c:v>November</c:v>
                </c:pt>
                <c:pt idx="10">
                  <c:v>December</c:v>
                </c:pt>
              </c:strCache>
            </c:strRef>
          </c:cat>
          <c:val>
            <c:numRef>
              <c:f>Timeseries!$C$3:$C$13</c:f>
              <c:numCache>
                <c:formatCode>0.00%</c:formatCode>
                <c:ptCount val="11"/>
                <c:pt idx="0">
                  <c:v>6.6666666666666666E-2</c:v>
                </c:pt>
                <c:pt idx="1">
                  <c:v>8.3333333333333329E-2</c:v>
                </c:pt>
                <c:pt idx="2">
                  <c:v>-3.8461538461538464E-2</c:v>
                </c:pt>
                <c:pt idx="3">
                  <c:v>0.1</c:v>
                </c:pt>
                <c:pt idx="4">
                  <c:v>5.4545454545454543E-2</c:v>
                </c:pt>
                <c:pt idx="5">
                  <c:v>6.8965517241379309E-2</c:v>
                </c:pt>
                <c:pt idx="6">
                  <c:v>-3.2258064516129031E-2</c:v>
                </c:pt>
                <c:pt idx="7">
                  <c:v>8.3333333333333329E-2</c:v>
                </c:pt>
                <c:pt idx="8">
                  <c:v>0.1076923076923077</c:v>
                </c:pt>
                <c:pt idx="9">
                  <c:v>8.3333333333333329E-2</c:v>
                </c:pt>
                <c:pt idx="10">
                  <c:v>0.15384615384615385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98-4D63-8299-F249C84D5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0012895"/>
        <c:axId val="1080740047"/>
      </c:lineChart>
      <c:catAx>
        <c:axId val="108001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40047"/>
        <c:crosses val="autoZero"/>
        <c:auto val="1"/>
        <c:lblAlgn val="ctr"/>
        <c:lblOffset val="100"/>
        <c:noMultiLvlLbl val="0"/>
      </c:catAx>
      <c:valAx>
        <c:axId val="108074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01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Comparison!$B$1</c:f>
              <c:strCache>
                <c:ptCount val="1"/>
                <c:pt idx="0">
                  <c:v>Price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Comparison!$A$2:$A$11</c:f>
              <c:strCache>
                <c:ptCount val="10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  <c:pt idx="6">
                  <c:v>Product G</c:v>
                </c:pt>
                <c:pt idx="7">
                  <c:v>Product H</c:v>
                </c:pt>
                <c:pt idx="8">
                  <c:v>Product I</c:v>
                </c:pt>
                <c:pt idx="9">
                  <c:v>Product J</c:v>
                </c:pt>
              </c:strCache>
            </c:strRef>
          </c:cat>
          <c:val>
            <c:numRef>
              <c:f>Comparison!$B$2:$B$11</c:f>
              <c:numCache>
                <c:formatCode>General</c:formatCode>
                <c:ptCount val="10"/>
                <c:pt idx="0">
                  <c:v>500</c:v>
                </c:pt>
                <c:pt idx="1">
                  <c:v>750</c:v>
                </c:pt>
                <c:pt idx="2" formatCode="#,##0">
                  <c:v>1000</c:v>
                </c:pt>
                <c:pt idx="3" formatCode="#,##0">
                  <c:v>1250</c:v>
                </c:pt>
                <c:pt idx="4" formatCode="#,##0">
                  <c:v>1500</c:v>
                </c:pt>
                <c:pt idx="5" formatCode="#,##0">
                  <c:v>1750</c:v>
                </c:pt>
                <c:pt idx="6" formatCode="#,##0">
                  <c:v>2000</c:v>
                </c:pt>
                <c:pt idx="7" formatCode="#,##0">
                  <c:v>2250</c:v>
                </c:pt>
                <c:pt idx="8" formatCode="#,##0">
                  <c:v>2500</c:v>
                </c:pt>
                <c:pt idx="9" formatCode="#,##0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0-4199-B8B5-AE1377957357}"/>
            </c:ext>
          </c:extLst>
        </c:ser>
        <c:ser>
          <c:idx val="1"/>
          <c:order val="1"/>
          <c:tx>
            <c:strRef>
              <c:f>Comparison!$C$1</c:f>
              <c:strCache>
                <c:ptCount val="1"/>
                <c:pt idx="0">
                  <c:v>Sales Amount (₹)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Comparison!$A$2:$A$11</c:f>
              <c:strCache>
                <c:ptCount val="10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  <c:pt idx="6">
                  <c:v>Product G</c:v>
                </c:pt>
                <c:pt idx="7">
                  <c:v>Product H</c:v>
                </c:pt>
                <c:pt idx="8">
                  <c:v>Product I</c:v>
                </c:pt>
                <c:pt idx="9">
                  <c:v>Product J</c:v>
                </c:pt>
              </c:strCache>
            </c:strRef>
          </c:cat>
          <c:val>
            <c:numRef>
              <c:f>Comparison!$C$2:$C$11</c:f>
              <c:numCache>
                <c:formatCode>#,##0</c:formatCode>
                <c:ptCount val="10"/>
                <c:pt idx="0">
                  <c:v>12000</c:v>
                </c:pt>
                <c:pt idx="1">
                  <c:v>15500</c:v>
                </c:pt>
                <c:pt idx="2">
                  <c:v>18000</c:v>
                </c:pt>
                <c:pt idx="3">
                  <c:v>21000</c:v>
                </c:pt>
                <c:pt idx="4">
                  <c:v>24500</c:v>
                </c:pt>
                <c:pt idx="5">
                  <c:v>22000</c:v>
                </c:pt>
                <c:pt idx="6">
                  <c:v>28000</c:v>
                </c:pt>
                <c:pt idx="7">
                  <c:v>30500</c:v>
                </c:pt>
                <c:pt idx="8">
                  <c:v>27000</c:v>
                </c:pt>
                <c:pt idx="9">
                  <c:v>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60-4199-B8B5-AE1377957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818447"/>
        <c:axId val="1080788527"/>
      </c:barChart>
      <c:catAx>
        <c:axId val="120181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88527"/>
        <c:crosses val="autoZero"/>
        <c:auto val="1"/>
        <c:lblAlgn val="ctr"/>
        <c:lblOffset val="100"/>
        <c:noMultiLvlLbl val="0"/>
      </c:catAx>
      <c:valAx>
        <c:axId val="108078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81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Ranking!$A$2:$A$11</c:f>
              <c:strCache>
                <c:ptCount val="10"/>
                <c:pt idx="0">
                  <c:v>Arun</c:v>
                </c:pt>
                <c:pt idx="1">
                  <c:v>Bala</c:v>
                </c:pt>
                <c:pt idx="2">
                  <c:v>Chitra</c:v>
                </c:pt>
                <c:pt idx="3">
                  <c:v>Divya</c:v>
                </c:pt>
                <c:pt idx="4">
                  <c:v>Ezhil</c:v>
                </c:pt>
                <c:pt idx="5">
                  <c:v>Farhan</c:v>
                </c:pt>
                <c:pt idx="6">
                  <c:v>Geetha</c:v>
                </c:pt>
                <c:pt idx="7">
                  <c:v>Hari</c:v>
                </c:pt>
                <c:pt idx="8">
                  <c:v>Indhu</c:v>
                </c:pt>
                <c:pt idx="9">
                  <c:v>Joseph</c:v>
                </c:pt>
              </c:strCache>
            </c:strRef>
          </c:cat>
          <c:val>
            <c:numRef>
              <c:f>Ranking!$B$2:$B$11</c:f>
              <c:numCache>
                <c:formatCode>#,##0</c:formatCode>
                <c:ptCount val="10"/>
                <c:pt idx="0">
                  <c:v>85000</c:v>
                </c:pt>
                <c:pt idx="1">
                  <c:v>72000</c:v>
                </c:pt>
                <c:pt idx="2">
                  <c:v>95000</c:v>
                </c:pt>
                <c:pt idx="3">
                  <c:v>68000</c:v>
                </c:pt>
                <c:pt idx="4">
                  <c:v>88000</c:v>
                </c:pt>
                <c:pt idx="5">
                  <c:v>76000</c:v>
                </c:pt>
                <c:pt idx="6">
                  <c:v>92000</c:v>
                </c:pt>
                <c:pt idx="7">
                  <c:v>60000</c:v>
                </c:pt>
                <c:pt idx="8">
                  <c:v>81000</c:v>
                </c:pt>
                <c:pt idx="9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2-4CDB-9FC3-C896D7165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1337519"/>
        <c:axId val="1080813007"/>
      </c:barChart>
      <c:catAx>
        <c:axId val="110133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813007"/>
        <c:crosses val="autoZero"/>
        <c:auto val="1"/>
        <c:lblAlgn val="ctr"/>
        <c:lblOffset val="100"/>
        <c:noMultiLvlLbl val="0"/>
      </c:catAx>
      <c:valAx>
        <c:axId val="1080813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33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365125</xdr:colOff>
      <xdr:row>0</xdr:row>
      <xdr:rowOff>358775</xdr:rowOff>
    </xdr:from>
    <xdr:to>
      <xdr:col>11</xdr:col>
      <xdr:colOff>60325</xdr:colOff>
      <xdr:row>15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73E694-49D9-D485-34DA-9FF2D6FEA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206374</xdr:colOff>
      <xdr:row>1</xdr:row>
      <xdr:rowOff>174625</xdr:rowOff>
    </xdr:from>
    <xdr:to>
      <xdr:col>14</xdr:col>
      <xdr:colOff>260349</xdr:colOff>
      <xdr:row>16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9FBB6-430E-7187-BDFF-AC7BD7FCF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434975</xdr:colOff>
      <xdr:row>17</xdr:row>
      <xdr:rowOff>111125</xdr:rowOff>
    </xdr:from>
    <xdr:to>
      <xdr:col>12</xdr:col>
      <xdr:colOff>130175</xdr:colOff>
      <xdr:row>32</xdr:row>
      <xdr:rowOff>92075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F7D0491-C6DF-E7E4-BF84-6AF6ADAEB7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0</xdr:row>
      <xdr:rowOff>327025</xdr:rowOff>
    </xdr:from>
    <xdr:to>
      <xdr:col>13</xdr:col>
      <xdr:colOff>161925</xdr:colOff>
      <xdr:row>8</xdr:row>
      <xdr:rowOff>307975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2D9E5F-BAC7-2B63-6D55-B95119715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0</xdr:row>
      <xdr:rowOff>358775</xdr:rowOff>
    </xdr:from>
    <xdr:to>
      <xdr:col>12</xdr:col>
      <xdr:colOff>466725</xdr:colOff>
      <xdr:row>14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D1B924-AA93-C24D-8721-887EEDDDF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6FD07-FE75-4B50-A792-F4335DEF13EA}">
  <dimension ref="A1:B17"/>
  <sheetViews>
    <sheetView topLeftCell="A2" workbookViewId="0">
      <selection activeCell="B14" sqref="B14"/>
    </sheetView>
  </sheetViews>
  <sheetFormatPr defaultRowHeight="14.5" x14ac:dyDescent="0.35"/>
  <cols>
    <col min="1" max="1" width="21.90625" customWidth="1"/>
    <col min="2" max="2" width="22.1796875" customWidth="1"/>
  </cols>
  <sheetData>
    <row r="1" spans="1:2" ht="29" x14ac:dyDescent="0.35">
      <c r="A1" s="2" t="s">
        <v>0</v>
      </c>
      <c r="B1" s="2" t="s">
        <v>1</v>
      </c>
    </row>
    <row r="2" spans="1:2" x14ac:dyDescent="0.35">
      <c r="A2" s="1">
        <v>10</v>
      </c>
      <c r="B2" s="1">
        <v>25</v>
      </c>
    </row>
    <row r="3" spans="1:2" x14ac:dyDescent="0.35">
      <c r="A3" s="1">
        <v>15</v>
      </c>
      <c r="B3" s="1">
        <v>32</v>
      </c>
    </row>
    <row r="4" spans="1:2" x14ac:dyDescent="0.35">
      <c r="A4" s="1">
        <v>20</v>
      </c>
      <c r="B4" s="1">
        <v>38</v>
      </c>
    </row>
    <row r="5" spans="1:2" x14ac:dyDescent="0.35">
      <c r="A5" s="1">
        <v>25</v>
      </c>
      <c r="B5" s="1">
        <v>45</v>
      </c>
    </row>
    <row r="6" spans="1:2" x14ac:dyDescent="0.35">
      <c r="A6" s="1">
        <v>30</v>
      </c>
      <c r="B6" s="1">
        <v>52</v>
      </c>
    </row>
    <row r="7" spans="1:2" x14ac:dyDescent="0.35">
      <c r="A7" s="1">
        <v>35</v>
      </c>
      <c r="B7" s="1">
        <v>58</v>
      </c>
    </row>
    <row r="8" spans="1:2" x14ac:dyDescent="0.35">
      <c r="A8" s="1">
        <v>40</v>
      </c>
      <c r="B8" s="1">
        <v>65</v>
      </c>
    </row>
    <row r="9" spans="1:2" x14ac:dyDescent="0.35">
      <c r="A9" s="1">
        <v>45</v>
      </c>
      <c r="B9" s="1">
        <v>70</v>
      </c>
    </row>
    <row r="10" spans="1:2" x14ac:dyDescent="0.35">
      <c r="A10" s="1">
        <v>50</v>
      </c>
      <c r="B10" s="1">
        <v>78</v>
      </c>
    </row>
    <row r="11" spans="1:2" x14ac:dyDescent="0.35">
      <c r="A11" s="1">
        <v>55</v>
      </c>
      <c r="B11" s="1">
        <v>85</v>
      </c>
    </row>
    <row r="12" spans="1:2" x14ac:dyDescent="0.35">
      <c r="A12" s="1">
        <v>60</v>
      </c>
      <c r="B12" s="1" t="s">
        <v>4</v>
      </c>
    </row>
    <row r="14" spans="1:2" x14ac:dyDescent="0.35">
      <c r="A14" t="s">
        <v>2</v>
      </c>
      <c r="B14">
        <f>SLOPE(B2:B11,A2:A11)</f>
        <v>1.3187878787878788</v>
      </c>
    </row>
    <row r="15" spans="1:2" x14ac:dyDescent="0.35">
      <c r="A15" t="s">
        <v>3</v>
      </c>
      <c r="B15">
        <f>INTERCEPT(B2:B11,A2:A11)</f>
        <v>11.939393939393938</v>
      </c>
    </row>
    <row r="17" spans="1:2" x14ac:dyDescent="0.35">
      <c r="A17" t="s">
        <v>5</v>
      </c>
      <c r="B17">
        <f>_xlfn.FORECAST.LINEAR(60,B2:B11,A2:A11)</f>
        <v>91.066666666666663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C9A67-2C74-437E-AB89-3ADC22982EE4}">
  <dimension ref="A2:C12"/>
  <sheetViews>
    <sheetView workbookViewId="0">
      <selection activeCell="F3" sqref="F3"/>
    </sheetView>
  </sheetViews>
  <sheetFormatPr defaultRowHeight="14.5" x14ac:dyDescent="0.35"/>
  <cols>
    <col min="1" max="3" width="15.54296875" customWidth="1"/>
  </cols>
  <sheetData>
    <row r="2" spans="1:3" ht="29" x14ac:dyDescent="0.35">
      <c r="A2" s="2" t="s">
        <v>6</v>
      </c>
      <c r="B2" s="2" t="s">
        <v>7</v>
      </c>
      <c r="C2" s="2" t="s">
        <v>6</v>
      </c>
    </row>
    <row r="3" spans="1:3" x14ac:dyDescent="0.35">
      <c r="A3" s="1">
        <v>1</v>
      </c>
      <c r="B3" s="1">
        <v>18</v>
      </c>
      <c r="C3" s="1">
        <v>35</v>
      </c>
    </row>
    <row r="4" spans="1:3" x14ac:dyDescent="0.35">
      <c r="A4" s="1">
        <v>2</v>
      </c>
      <c r="B4" s="1">
        <v>21</v>
      </c>
      <c r="C4" s="1">
        <v>40</v>
      </c>
    </row>
    <row r="5" spans="1:3" x14ac:dyDescent="0.35">
      <c r="A5" s="1">
        <v>3</v>
      </c>
      <c r="B5" s="1">
        <v>24</v>
      </c>
      <c r="C5" s="1">
        <v>45</v>
      </c>
    </row>
    <row r="6" spans="1:3" x14ac:dyDescent="0.35">
      <c r="A6" s="1">
        <v>4</v>
      </c>
      <c r="B6" s="1">
        <v>27</v>
      </c>
      <c r="C6" s="1">
        <v>50</v>
      </c>
    </row>
    <row r="7" spans="1:3" x14ac:dyDescent="0.35">
      <c r="A7" s="1">
        <v>5</v>
      </c>
      <c r="B7" s="1">
        <v>31</v>
      </c>
      <c r="C7" s="1">
        <v>57</v>
      </c>
    </row>
    <row r="8" spans="1:3" x14ac:dyDescent="0.35">
      <c r="A8" s="1">
        <v>6</v>
      </c>
      <c r="B8" s="1">
        <v>33</v>
      </c>
      <c r="C8" s="1">
        <v>60</v>
      </c>
    </row>
    <row r="9" spans="1:3" x14ac:dyDescent="0.35">
      <c r="A9" s="1">
        <v>7</v>
      </c>
      <c r="B9" s="1">
        <v>37</v>
      </c>
      <c r="C9" s="1">
        <v>67</v>
      </c>
    </row>
    <row r="10" spans="1:3" x14ac:dyDescent="0.35">
      <c r="A10" s="1">
        <v>8</v>
      </c>
      <c r="B10" s="1">
        <v>40</v>
      </c>
      <c r="C10" s="1">
        <v>72</v>
      </c>
    </row>
    <row r="11" spans="1:3" x14ac:dyDescent="0.35">
      <c r="A11" s="1">
        <v>9</v>
      </c>
      <c r="B11" s="1">
        <v>43</v>
      </c>
      <c r="C11" s="1">
        <v>77</v>
      </c>
    </row>
    <row r="12" spans="1:3" x14ac:dyDescent="0.35">
      <c r="A12" s="1">
        <v>10</v>
      </c>
      <c r="B12" s="1">
        <v>47</v>
      </c>
      <c r="C12" s="1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2C09E-C99C-4DF1-A60E-747F323B8815}">
  <dimension ref="A1:C13"/>
  <sheetViews>
    <sheetView workbookViewId="0">
      <selection activeCell="D18" sqref="D18"/>
    </sheetView>
  </sheetViews>
  <sheetFormatPr defaultRowHeight="14.5" x14ac:dyDescent="0.35"/>
  <cols>
    <col min="1" max="1" width="9.90625" customWidth="1"/>
    <col min="2" max="2" width="12.26953125" customWidth="1"/>
  </cols>
  <sheetData>
    <row r="1" spans="1:3" x14ac:dyDescent="0.35">
      <c r="A1" s="3" t="s">
        <v>8</v>
      </c>
      <c r="B1" s="2" t="s">
        <v>9</v>
      </c>
    </row>
    <row r="2" spans="1:3" x14ac:dyDescent="0.35">
      <c r="A2" s="4" t="s">
        <v>10</v>
      </c>
      <c r="B2" s="5">
        <v>45000</v>
      </c>
      <c r="C2" t="s">
        <v>22</v>
      </c>
    </row>
    <row r="3" spans="1:3" x14ac:dyDescent="0.35">
      <c r="A3" s="4" t="s">
        <v>11</v>
      </c>
      <c r="B3" s="5">
        <v>48000</v>
      </c>
      <c r="C3" s="6">
        <f>(B3-B2)/B2</f>
        <v>6.6666666666666666E-2</v>
      </c>
    </row>
    <row r="4" spans="1:3" x14ac:dyDescent="0.35">
      <c r="A4" s="4" t="s">
        <v>12</v>
      </c>
      <c r="B4" s="5">
        <v>52000</v>
      </c>
      <c r="C4" s="6">
        <f t="shared" ref="C4:C13" si="0">(B4-B3)/B3</f>
        <v>8.3333333333333329E-2</v>
      </c>
    </row>
    <row r="5" spans="1:3" x14ac:dyDescent="0.35">
      <c r="A5" s="4" t="s">
        <v>13</v>
      </c>
      <c r="B5" s="5">
        <v>50000</v>
      </c>
      <c r="C5" s="6">
        <f t="shared" si="0"/>
        <v>-3.8461538461538464E-2</v>
      </c>
    </row>
    <row r="6" spans="1:3" x14ac:dyDescent="0.35">
      <c r="A6" s="4" t="s">
        <v>14</v>
      </c>
      <c r="B6" s="5">
        <v>55000</v>
      </c>
      <c r="C6" s="6">
        <f t="shared" si="0"/>
        <v>0.1</v>
      </c>
    </row>
    <row r="7" spans="1:3" x14ac:dyDescent="0.35">
      <c r="A7" s="4" t="s">
        <v>15</v>
      </c>
      <c r="B7" s="5">
        <v>58000</v>
      </c>
      <c r="C7" s="6">
        <f t="shared" si="0"/>
        <v>5.4545454545454543E-2</v>
      </c>
    </row>
    <row r="8" spans="1:3" x14ac:dyDescent="0.35">
      <c r="A8" s="4" t="s">
        <v>16</v>
      </c>
      <c r="B8" s="5">
        <v>62000</v>
      </c>
      <c r="C8" s="6">
        <f t="shared" si="0"/>
        <v>6.8965517241379309E-2</v>
      </c>
    </row>
    <row r="9" spans="1:3" x14ac:dyDescent="0.35">
      <c r="A9" s="4" t="s">
        <v>17</v>
      </c>
      <c r="B9" s="5">
        <v>60000</v>
      </c>
      <c r="C9" s="6">
        <f t="shared" si="0"/>
        <v>-3.2258064516129031E-2</v>
      </c>
    </row>
    <row r="10" spans="1:3" x14ac:dyDescent="0.35">
      <c r="A10" s="4" t="s">
        <v>18</v>
      </c>
      <c r="B10" s="5">
        <v>65000</v>
      </c>
      <c r="C10" s="6">
        <f t="shared" si="0"/>
        <v>8.3333333333333329E-2</v>
      </c>
    </row>
    <row r="11" spans="1:3" x14ac:dyDescent="0.35">
      <c r="A11" s="4" t="s">
        <v>19</v>
      </c>
      <c r="B11" s="5">
        <v>72000</v>
      </c>
      <c r="C11" s="6">
        <f t="shared" si="0"/>
        <v>0.1076923076923077</v>
      </c>
    </row>
    <row r="12" spans="1:3" x14ac:dyDescent="0.35">
      <c r="A12" s="4" t="s">
        <v>20</v>
      </c>
      <c r="B12" s="5">
        <v>78000</v>
      </c>
      <c r="C12" s="6">
        <f t="shared" si="0"/>
        <v>8.3333333333333329E-2</v>
      </c>
    </row>
    <row r="13" spans="1:3" x14ac:dyDescent="0.35">
      <c r="A13" s="4" t="s">
        <v>21</v>
      </c>
      <c r="B13" s="5">
        <v>90000</v>
      </c>
      <c r="C13" s="6">
        <f t="shared" si="0"/>
        <v>0.15384615384615385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1DEDF-3212-4F0E-B2EC-16B42FBA4AC0}">
  <dimension ref="A1:B13"/>
  <sheetViews>
    <sheetView workbookViewId="0">
      <selection activeCell="D12" sqref="D12"/>
    </sheetView>
  </sheetViews>
  <sheetFormatPr defaultRowHeight="14.5" x14ac:dyDescent="0.35"/>
  <cols>
    <col min="1" max="2" width="17.36328125" customWidth="1"/>
  </cols>
  <sheetData>
    <row r="1" spans="1:2" ht="29" x14ac:dyDescent="0.35">
      <c r="A1" s="3" t="s">
        <v>8</v>
      </c>
      <c r="B1" s="2" t="s">
        <v>23</v>
      </c>
    </row>
    <row r="2" spans="1:2" x14ac:dyDescent="0.35">
      <c r="A2" s="4" t="s">
        <v>10</v>
      </c>
      <c r="B2" s="5">
        <v>12500</v>
      </c>
    </row>
    <row r="3" spans="1:2" x14ac:dyDescent="0.35">
      <c r="A3" s="4" t="s">
        <v>11</v>
      </c>
      <c r="B3" s="5">
        <v>13200</v>
      </c>
    </row>
    <row r="4" spans="1:2" x14ac:dyDescent="0.35">
      <c r="A4" s="4" t="s">
        <v>12</v>
      </c>
      <c r="B4" s="5">
        <v>14100</v>
      </c>
    </row>
    <row r="5" spans="1:2" x14ac:dyDescent="0.35">
      <c r="A5" s="4" t="s">
        <v>13</v>
      </c>
      <c r="B5" s="5">
        <v>13700</v>
      </c>
    </row>
    <row r="6" spans="1:2" x14ac:dyDescent="0.35">
      <c r="A6" s="4" t="s">
        <v>14</v>
      </c>
      <c r="B6" s="5">
        <v>15300</v>
      </c>
    </row>
    <row r="7" spans="1:2" x14ac:dyDescent="0.35">
      <c r="A7" s="4" t="s">
        <v>15</v>
      </c>
      <c r="B7" s="5">
        <v>16800</v>
      </c>
    </row>
    <row r="8" spans="1:2" x14ac:dyDescent="0.35">
      <c r="A8" s="4" t="s">
        <v>16</v>
      </c>
      <c r="B8" s="5">
        <v>17500</v>
      </c>
    </row>
    <row r="9" spans="1:2" x14ac:dyDescent="0.35">
      <c r="A9" s="4" t="s">
        <v>17</v>
      </c>
      <c r="B9" s="5">
        <v>16900</v>
      </c>
    </row>
    <row r="10" spans="1:2" ht="29" x14ac:dyDescent="0.35">
      <c r="A10" s="4" t="s">
        <v>18</v>
      </c>
      <c r="B10" s="5">
        <v>18200</v>
      </c>
    </row>
    <row r="11" spans="1:2" x14ac:dyDescent="0.35">
      <c r="A11" s="4" t="s">
        <v>19</v>
      </c>
      <c r="B11" s="5">
        <v>19600</v>
      </c>
    </row>
    <row r="12" spans="1:2" ht="29" x14ac:dyDescent="0.35">
      <c r="A12" s="4" t="s">
        <v>20</v>
      </c>
      <c r="B12" s="5">
        <v>21300</v>
      </c>
    </row>
    <row r="13" spans="1:2" ht="29" x14ac:dyDescent="0.35">
      <c r="A13" s="4" t="s">
        <v>21</v>
      </c>
      <c r="B13" s="5">
        <v>23500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62031-45B3-44C0-8F52-A29A50E6A661}">
  <dimension ref="A1:C11"/>
  <sheetViews>
    <sheetView workbookViewId="0">
      <selection sqref="A1:C11"/>
    </sheetView>
  </sheetViews>
  <sheetFormatPr defaultRowHeight="14.5" x14ac:dyDescent="0.35"/>
  <cols>
    <col min="1" max="1" width="18.6328125" customWidth="1"/>
    <col min="2" max="2" width="15.81640625" customWidth="1"/>
    <col min="3" max="3" width="17.26953125" customWidth="1"/>
  </cols>
  <sheetData>
    <row r="1" spans="1:3" ht="43.5" x14ac:dyDescent="0.35">
      <c r="A1" s="3" t="s">
        <v>24</v>
      </c>
      <c r="B1" s="2" t="s">
        <v>25</v>
      </c>
      <c r="C1" s="2" t="s">
        <v>26</v>
      </c>
    </row>
    <row r="2" spans="1:3" ht="29" x14ac:dyDescent="0.35">
      <c r="A2" s="4" t="s">
        <v>27</v>
      </c>
      <c r="B2" s="1">
        <v>500</v>
      </c>
      <c r="C2" s="5">
        <v>12000</v>
      </c>
    </row>
    <row r="3" spans="1:3" ht="29" x14ac:dyDescent="0.35">
      <c r="A3" s="4" t="s">
        <v>28</v>
      </c>
      <c r="B3" s="1">
        <v>750</v>
      </c>
      <c r="C3" s="5">
        <v>15500</v>
      </c>
    </row>
    <row r="4" spans="1:3" ht="29" x14ac:dyDescent="0.35">
      <c r="A4" s="4" t="s">
        <v>29</v>
      </c>
      <c r="B4" s="5">
        <v>1000</v>
      </c>
      <c r="C4" s="5">
        <v>18000</v>
      </c>
    </row>
    <row r="5" spans="1:3" ht="29" x14ac:dyDescent="0.35">
      <c r="A5" s="4" t="s">
        <v>30</v>
      </c>
      <c r="B5" s="5">
        <v>1250</v>
      </c>
      <c r="C5" s="5">
        <v>21000</v>
      </c>
    </row>
    <row r="6" spans="1:3" x14ac:dyDescent="0.35">
      <c r="A6" s="4" t="s">
        <v>31</v>
      </c>
      <c r="B6" s="5">
        <v>1500</v>
      </c>
      <c r="C6" s="5">
        <v>24500</v>
      </c>
    </row>
    <row r="7" spans="1:3" x14ac:dyDescent="0.35">
      <c r="A7" s="4" t="s">
        <v>32</v>
      </c>
      <c r="B7" s="5">
        <v>1750</v>
      </c>
      <c r="C7" s="5">
        <v>22000</v>
      </c>
    </row>
    <row r="8" spans="1:3" ht="29" x14ac:dyDescent="0.35">
      <c r="A8" s="4" t="s">
        <v>33</v>
      </c>
      <c r="B8" s="5">
        <v>2000</v>
      </c>
      <c r="C8" s="5">
        <v>28000</v>
      </c>
    </row>
    <row r="9" spans="1:3" ht="29" x14ac:dyDescent="0.35">
      <c r="A9" s="4" t="s">
        <v>34</v>
      </c>
      <c r="B9" s="5">
        <v>2250</v>
      </c>
      <c r="C9" s="5">
        <v>30500</v>
      </c>
    </row>
    <row r="10" spans="1:3" x14ac:dyDescent="0.35">
      <c r="A10" s="4" t="s">
        <v>35</v>
      </c>
      <c r="B10" s="5">
        <v>2500</v>
      </c>
      <c r="C10" s="5">
        <v>27000</v>
      </c>
    </row>
    <row r="11" spans="1:3" x14ac:dyDescent="0.35">
      <c r="A11" s="4" t="s">
        <v>36</v>
      </c>
      <c r="B11" s="5">
        <v>3000</v>
      </c>
      <c r="C11" s="5">
        <v>35000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7DFF0-9A15-46BE-8B07-D136225ED92E}">
  <dimension ref="A1:C11"/>
  <sheetViews>
    <sheetView workbookViewId="0">
      <selection activeCell="E9" sqref="E9"/>
    </sheetView>
  </sheetViews>
  <sheetFormatPr defaultRowHeight="14.5" x14ac:dyDescent="0.35"/>
  <cols>
    <col min="1" max="1" width="23.54296875" customWidth="1"/>
    <col min="2" max="2" width="13.1796875" customWidth="1"/>
    <col min="3" max="3" width="18.7265625" customWidth="1"/>
  </cols>
  <sheetData>
    <row r="1" spans="1:3" ht="29" x14ac:dyDescent="0.35">
      <c r="A1" s="3" t="s">
        <v>37</v>
      </c>
      <c r="B1" s="2" t="s">
        <v>38</v>
      </c>
      <c r="C1" s="2" t="s">
        <v>39</v>
      </c>
    </row>
    <row r="2" spans="1:3" x14ac:dyDescent="0.35">
      <c r="A2" s="4" t="s">
        <v>40</v>
      </c>
      <c r="B2" s="1">
        <v>12</v>
      </c>
      <c r="C2" s="5">
        <v>32000</v>
      </c>
    </row>
    <row r="3" spans="1:3" x14ac:dyDescent="0.35">
      <c r="A3" s="4" t="s">
        <v>41</v>
      </c>
      <c r="B3" s="1">
        <v>15</v>
      </c>
      <c r="C3" s="5">
        <v>45000</v>
      </c>
    </row>
    <row r="4" spans="1:3" ht="29" x14ac:dyDescent="0.35">
      <c r="A4" s="4" t="s">
        <v>42</v>
      </c>
      <c r="B4" s="1">
        <v>18</v>
      </c>
      <c r="C4" s="5">
        <v>38000</v>
      </c>
    </row>
    <row r="5" spans="1:3" x14ac:dyDescent="0.35">
      <c r="A5" s="4" t="s">
        <v>43</v>
      </c>
      <c r="B5" s="1">
        <v>25</v>
      </c>
      <c r="C5" s="5">
        <v>42000</v>
      </c>
    </row>
    <row r="6" spans="1:3" x14ac:dyDescent="0.35">
      <c r="A6" s="4" t="s">
        <v>44</v>
      </c>
      <c r="B6" s="1">
        <v>22</v>
      </c>
      <c r="C6" s="5">
        <v>55000</v>
      </c>
    </row>
    <row r="7" spans="1:3" ht="29" x14ac:dyDescent="0.35">
      <c r="A7" s="4" t="s">
        <v>45</v>
      </c>
      <c r="B7" s="1">
        <v>20</v>
      </c>
      <c r="C7" s="5">
        <v>40000</v>
      </c>
    </row>
    <row r="8" spans="1:3" ht="29" x14ac:dyDescent="0.35">
      <c r="A8" s="4" t="s">
        <v>46</v>
      </c>
      <c r="B8" s="1">
        <v>28</v>
      </c>
      <c r="C8" s="5">
        <v>30000</v>
      </c>
    </row>
    <row r="9" spans="1:3" x14ac:dyDescent="0.35">
      <c r="A9" s="4" t="s">
        <v>47</v>
      </c>
      <c r="B9" s="1">
        <v>10</v>
      </c>
      <c r="C9" s="5">
        <v>60000</v>
      </c>
    </row>
    <row r="10" spans="1:3" ht="29" x14ac:dyDescent="0.35">
      <c r="A10" s="4" t="s">
        <v>48</v>
      </c>
      <c r="B10" s="1">
        <v>14</v>
      </c>
      <c r="C10" s="5">
        <v>35000</v>
      </c>
    </row>
    <row r="11" spans="1:3" x14ac:dyDescent="0.35">
      <c r="A11" s="4" t="s">
        <v>49</v>
      </c>
      <c r="B11" s="1">
        <v>16</v>
      </c>
      <c r="C11" s="5">
        <v>37000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1B9A-740D-4037-9DCB-A9910ACC0280}">
  <dimension ref="A1:C11"/>
  <sheetViews>
    <sheetView workbookViewId="0">
      <selection activeCell="N9" sqref="N9"/>
    </sheetView>
  </sheetViews>
  <sheetFormatPr defaultRowHeight="14.5" x14ac:dyDescent="0.35"/>
  <cols>
    <col min="2" max="2" width="14.08984375" customWidth="1"/>
  </cols>
  <sheetData>
    <row r="1" spans="1:3" ht="43.5" x14ac:dyDescent="0.35">
      <c r="A1" s="3" t="s">
        <v>50</v>
      </c>
      <c r="B1" s="2" t="s">
        <v>26</v>
      </c>
    </row>
    <row r="2" spans="1:3" x14ac:dyDescent="0.35">
      <c r="A2" s="4" t="s">
        <v>51</v>
      </c>
      <c r="B2" s="5">
        <v>85000</v>
      </c>
      <c r="C2">
        <f>RANK(B2,$B$2:$B$11,0)</f>
        <v>4</v>
      </c>
    </row>
    <row r="3" spans="1:3" x14ac:dyDescent="0.35">
      <c r="A3" s="4" t="s">
        <v>52</v>
      </c>
      <c r="B3" s="5">
        <v>72000</v>
      </c>
      <c r="C3">
        <f t="shared" ref="C3:C11" si="0">RANK(B3,$B$2:$B$11,0)</f>
        <v>7</v>
      </c>
    </row>
    <row r="4" spans="1:3" x14ac:dyDescent="0.35">
      <c r="A4" s="4" t="s">
        <v>53</v>
      </c>
      <c r="B4" s="5">
        <v>95000</v>
      </c>
      <c r="C4">
        <f t="shared" si="0"/>
        <v>1</v>
      </c>
    </row>
    <row r="5" spans="1:3" x14ac:dyDescent="0.35">
      <c r="A5" s="4" t="s">
        <v>54</v>
      </c>
      <c r="B5" s="5">
        <v>68000</v>
      </c>
      <c r="C5">
        <f t="shared" si="0"/>
        <v>9</v>
      </c>
    </row>
    <row r="6" spans="1:3" x14ac:dyDescent="0.35">
      <c r="A6" s="4" t="s">
        <v>55</v>
      </c>
      <c r="B6" s="5">
        <v>88000</v>
      </c>
      <c r="C6">
        <f t="shared" si="0"/>
        <v>3</v>
      </c>
    </row>
    <row r="7" spans="1:3" x14ac:dyDescent="0.35">
      <c r="A7" s="4" t="s">
        <v>56</v>
      </c>
      <c r="B7" s="5">
        <v>76000</v>
      </c>
      <c r="C7">
        <f t="shared" si="0"/>
        <v>6</v>
      </c>
    </row>
    <row r="8" spans="1:3" x14ac:dyDescent="0.35">
      <c r="A8" s="4" t="s">
        <v>57</v>
      </c>
      <c r="B8" s="5">
        <v>92000</v>
      </c>
      <c r="C8">
        <f t="shared" si="0"/>
        <v>2</v>
      </c>
    </row>
    <row r="9" spans="1:3" x14ac:dyDescent="0.35">
      <c r="A9" s="4" t="s">
        <v>58</v>
      </c>
      <c r="B9" s="5">
        <v>60000</v>
      </c>
      <c r="C9">
        <f t="shared" si="0"/>
        <v>10</v>
      </c>
    </row>
    <row r="10" spans="1:3" x14ac:dyDescent="0.35">
      <c r="A10" s="4" t="s">
        <v>59</v>
      </c>
      <c r="B10" s="5">
        <v>81000</v>
      </c>
      <c r="C10">
        <f t="shared" si="0"/>
        <v>5</v>
      </c>
    </row>
    <row r="11" spans="1:3" x14ac:dyDescent="0.35">
      <c r="A11" s="4" t="s">
        <v>60</v>
      </c>
      <c r="B11" s="5">
        <v>70000</v>
      </c>
      <c r="C11">
        <f t="shared" si="0"/>
        <v>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96E46-D92E-46CD-B6AE-59A07EFA5BB1}">
  <dimension ref="A1:B11"/>
  <sheetViews>
    <sheetView tabSelected="1" workbookViewId="0">
      <selection activeCell="H7" sqref="H7"/>
    </sheetView>
  </sheetViews>
  <sheetFormatPr defaultRowHeight="14.5" x14ac:dyDescent="0.35"/>
  <cols>
    <col min="1" max="1" width="16.6328125" customWidth="1"/>
    <col min="2" max="2" width="21.81640625" customWidth="1"/>
  </cols>
  <sheetData>
    <row r="1" spans="1:2" ht="43.5" x14ac:dyDescent="0.35">
      <c r="A1" s="3" t="s">
        <v>50</v>
      </c>
      <c r="B1" s="2" t="s">
        <v>26</v>
      </c>
    </row>
    <row r="2" spans="1:2" x14ac:dyDescent="0.35">
      <c r="A2" s="4" t="s">
        <v>61</v>
      </c>
      <c r="B2" s="5">
        <v>68500</v>
      </c>
    </row>
    <row r="3" spans="1:2" x14ac:dyDescent="0.35">
      <c r="A3" s="4" t="s">
        <v>62</v>
      </c>
      <c r="B3" s="5">
        <v>92000</v>
      </c>
    </row>
    <row r="4" spans="1:2" x14ac:dyDescent="0.35">
      <c r="A4" s="4" t="s">
        <v>63</v>
      </c>
      <c r="B4" s="5">
        <v>75500</v>
      </c>
    </row>
    <row r="5" spans="1:2" x14ac:dyDescent="0.35">
      <c r="A5" s="4" t="s">
        <v>54</v>
      </c>
      <c r="B5" s="5">
        <v>88000</v>
      </c>
    </row>
    <row r="6" spans="1:2" x14ac:dyDescent="0.35">
      <c r="A6" s="4" t="s">
        <v>55</v>
      </c>
      <c r="B6" s="5">
        <v>64000</v>
      </c>
    </row>
    <row r="7" spans="1:2" x14ac:dyDescent="0.35">
      <c r="A7" s="4" t="s">
        <v>64</v>
      </c>
      <c r="B7" s="5">
        <v>95500</v>
      </c>
    </row>
    <row r="8" spans="1:2" x14ac:dyDescent="0.35">
      <c r="A8" s="4" t="s">
        <v>65</v>
      </c>
      <c r="B8" s="5">
        <v>81000</v>
      </c>
    </row>
    <row r="9" spans="1:2" x14ac:dyDescent="0.35">
      <c r="A9" s="4" t="s">
        <v>58</v>
      </c>
      <c r="B9" s="5">
        <v>72500</v>
      </c>
    </row>
    <row r="10" spans="1:2" x14ac:dyDescent="0.35">
      <c r="A10" s="4" t="s">
        <v>66</v>
      </c>
      <c r="B10" s="5">
        <v>99000</v>
      </c>
    </row>
    <row r="11" spans="1:2" x14ac:dyDescent="0.35">
      <c r="A11" s="4" t="s">
        <v>60</v>
      </c>
      <c r="B11" s="5">
        <v>85500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Regression</vt:lpstr>
      <vt:lpstr>Practice_Regression</vt:lpstr>
      <vt:lpstr>Timeseries</vt:lpstr>
      <vt:lpstr>Practice_timeseries</vt:lpstr>
      <vt:lpstr>Comparison</vt:lpstr>
      <vt:lpstr>Practice_comparison</vt:lpstr>
      <vt:lpstr>Ranking</vt:lpstr>
      <vt:lpstr>Ranking_Practice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 Manoj</dc:creator>
  <cp:lastModifiedBy>Pon Manoj</cp:lastModifiedBy>
  <dcterms:created xsi:type="dcterms:W3CDTF">2026-09-30T03:15:26Z</dcterms:created>
  <dcterms:modified xsi:type="dcterms:W3CDTF">2026-09-30T06:42:37Z</dcterms:modified>
</cp:coreProperties>
</file>